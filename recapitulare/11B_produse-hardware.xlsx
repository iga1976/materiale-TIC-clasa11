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capitulare-clasa-a-11a\"/>
    </mc:Choice>
  </mc:AlternateContent>
  <xr:revisionPtr revIDLastSave="0" documentId="13_ncr:1_{4FC4F13F-3257-4C34-9C68-3240F014C7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9" i="1" l="1"/>
  <c r="G9" i="1"/>
  <c r="F2" i="1"/>
  <c r="G2" i="1" s="1"/>
  <c r="G3" i="1"/>
  <c r="G4" i="1"/>
  <c r="G5" i="1"/>
  <c r="G6" i="1"/>
  <c r="G7" i="1"/>
  <c r="G8" i="1"/>
  <c r="F3" i="1"/>
  <c r="F4" i="1"/>
  <c r="F5" i="1"/>
  <c r="F6" i="1"/>
  <c r="F7" i="1"/>
  <c r="F8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<sst xmlns="http://schemas.openxmlformats.org/spreadsheetml/2006/main" count="14" uniqueCount="14">
  <si>
    <t>Produs</t>
  </si>
  <si>
    <t>Cantitate</t>
  </si>
  <si>
    <t>Preț unitar</t>
  </si>
  <si>
    <t>Total</t>
  </si>
  <si>
    <t>Reducere</t>
  </si>
  <si>
    <t>Total final</t>
  </si>
  <si>
    <t>Clasificare</t>
  </si>
  <si>
    <t>Laptop</t>
  </si>
  <si>
    <t>Telefon</t>
  </si>
  <si>
    <t>Monitor</t>
  </si>
  <si>
    <t>Tastatură</t>
  </si>
  <si>
    <t>Căști</t>
  </si>
  <si>
    <t>Router WiFi</t>
  </si>
  <si>
    <t>Cameră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</si>
</sst>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color theme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1"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Valoarea finală după reducere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Sheet1!$A$2:$A$8</c:f>
              <c:strCache>
                <c:ptCount val="7"/>
                <c:pt idx="0">
                  <c:v>Laptop</c:v>
                </c:pt>
                <c:pt idx="1">
                  <c:v>Telefon</c:v>
                </c:pt>
                <c:pt idx="2">
                  <c:v>Monitor</c:v>
                </c:pt>
                <c:pt idx="3">
                  <c:v>Tastatură</c:v>
                </c:pt>
                <c:pt idx="4">
                  <c:v>Căști</c:v>
                </c:pt>
                <c:pt idx="5">
                  <c:v>Router WiFi</c:v>
                </c:pt>
                <c:pt idx="6">
                  <c:v>Cameră web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Laptop</c:v>
                </c:pt>
                <c:pt idx="1">
                  <c:v>Telefon</c:v>
                </c:pt>
                <c:pt idx="2">
                  <c:v>Monitor</c:v>
                </c:pt>
                <c:pt idx="3">
                  <c:v>Tastatură</c:v>
                </c:pt>
                <c:pt idx="4">
                  <c:v>Căști</c:v>
                </c:pt>
                <c:pt idx="5">
                  <c:v>Router WiFi</c:v>
                </c:pt>
                <c:pt idx="6">
                  <c:v>Cameră web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6750</c:v>
                </c:pt>
                <c:pt idx="1">
                  <c:v>8550</c:v>
                </c:pt>
                <c:pt idx="2">
                  <c:v>1800</c:v>
                </c:pt>
                <c:pt idx="3">
                  <c:v>1200</c:v>
                </c:pt>
                <c:pt idx="4">
                  <c:v>2082.5</c:v>
                </c:pt>
                <c:pt idx="5">
                  <c:v>1064</c:v>
                </c:pt>
                <c:pt idx="6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D-4939-9F8F-1787536F8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141440"/>
        <c:axId val="907551376"/>
      </c:barChart>
      <c:catAx>
        <c:axId val="84514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551376"/>
        <c:crosses val="autoZero"/>
        <c:auto val="1"/>
        <c:lblAlgn val="ctr"/>
        <c:lblOffset val="100"/>
        <c:noMultiLvlLbl val="0"/>
      </c:catAx>
      <c:valAx>
        <c:axId val="9075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4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165286</xdr:colOff>
      <xdr:row>10</xdr:row>
      <xdr:rowOff>34739</xdr:rowOff>
    </xdr:from>
    <xdr:to>
      <xdr:col>7</xdr:col>
      <xdr:colOff>98051</xdr:colOff>
      <xdr:row>27</xdr:row>
      <xdr:rowOff>15689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5F5E5-6F96-1533-A682-892352635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70" zoomScaleNormal="170" workbookViewId="0">
      <selection activeCell="G10" sqref="G10"/>
    </sheetView>
  </sheetViews>
  <sheetFormatPr defaultColWidth="11.5703125" defaultRowHeight="12.7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</v>
      </c>
      <c r="C2">
        <v>2500</v>
      </c>
      <c r="D2">
        <f>B2*C2</f>
        <v>7500</v>
      </c>
      <c r="E2" s="1">
        <v>0.1</v>
      </c>
      <c r="F2">
        <f>(1-E2)*D2</f>
        <v>6750</v>
      </c>
      <c r="G2" t="str">
        <f>IF(F2&gt;2000,"scump","accesibil")</f>
        <v>scump</v>
      </c>
    </row>
    <row r="3" spans="1:7" x14ac:dyDescent="0.2">
      <c r="A3" t="s">
        <v>8</v>
      </c>
      <c r="B3">
        <v>5</v>
      </c>
      <c r="C3">
        <v>1800</v>
      </c>
      <c r="D3">
        <f t="shared" ref="D3:D8" si="0">B3*C3</f>
        <v>9000</v>
      </c>
      <c r="E3" s="1">
        <v>0.05</v>
      </c>
      <c r="F3">
        <f t="shared" ref="F3:F8" si="1">(1-E3)*D3</f>
        <v>8550</v>
      </c>
      <c r="G3" t="str">
        <f t="shared" ref="G3:G9" si="2">IF(F3&gt;2000,"scump","accesibil")</f>
        <v>scump</v>
      </c>
    </row>
    <row r="4" spans="1:7" x14ac:dyDescent="0.2">
      <c r="A4" t="s">
        <v>9</v>
      </c>
      <c r="B4">
        <v>2</v>
      </c>
      <c r="C4">
        <v>900</v>
      </c>
      <c r="D4">
        <f t="shared" si="0"/>
        <v>1800</v>
      </c>
      <c r="E4" s="1">
        <v>0</v>
      </c>
      <c r="F4">
        <f t="shared" si="1"/>
        <v>1800</v>
      </c>
      <c r="G4" t="str">
        <f t="shared" si="2"/>
        <v>accesibil</v>
      </c>
    </row>
    <row r="5" spans="1:7" x14ac:dyDescent="0.2">
      <c r="A5" t="s">
        <v>10</v>
      </c>
      <c r="B5">
        <v>10</v>
      </c>
      <c r="C5">
        <v>120</v>
      </c>
      <c r="D5">
        <f t="shared" si="0"/>
        <v>1200</v>
      </c>
      <c r="E5" s="1">
        <v>0</v>
      </c>
      <c r="F5">
        <f t="shared" si="1"/>
        <v>1200</v>
      </c>
      <c r="G5" t="str">
        <f t="shared" si="2"/>
        <v>accesibil</v>
      </c>
    </row>
    <row r="6" spans="1:7" x14ac:dyDescent="0.2">
      <c r="A6" t="s">
        <v>11</v>
      </c>
      <c r="B6">
        <v>7</v>
      </c>
      <c r="C6">
        <v>350</v>
      </c>
      <c r="D6">
        <f t="shared" si="0"/>
        <v>2450</v>
      </c>
      <c r="E6" s="1">
        <v>0.15</v>
      </c>
      <c r="F6">
        <f t="shared" si="1"/>
        <v>2082.5</v>
      </c>
      <c r="G6" t="str">
        <f t="shared" si="2"/>
        <v>scump</v>
      </c>
    </row>
    <row r="7" spans="1:7" x14ac:dyDescent="0.2">
      <c r="A7" t="s">
        <v>12</v>
      </c>
      <c r="B7">
        <v>4</v>
      </c>
      <c r="C7">
        <v>280</v>
      </c>
      <c r="D7">
        <f t="shared" si="0"/>
        <v>1120</v>
      </c>
      <c r="E7" s="1">
        <v>0.05</v>
      </c>
      <c r="F7">
        <f t="shared" si="1"/>
        <v>1064</v>
      </c>
      <c r="G7" t="str">
        <f t="shared" si="2"/>
        <v>accesibil</v>
      </c>
    </row>
    <row r="8" spans="1:7" x14ac:dyDescent="0.2">
      <c r="A8" t="s">
        <v>13</v>
      </c>
      <c r="B8">
        <v>6</v>
      </c>
      <c r="C8">
        <v>200</v>
      </c>
      <c r="D8">
        <f t="shared" si="0"/>
        <v>1200</v>
      </c>
      <c r="E8" s="1">
        <v>0.1</v>
      </c>
      <c r="F8">
        <f t="shared" si="1"/>
        <v>1080</v>
      </c>
      <c r="G8" t="str">
        <f t="shared" si="2"/>
        <v>accesibil</v>
      </c>
    </row>
    <row r="9" spans="1:7" x14ac:dyDescent="0.2">
      <c r="F9">
        <f>SUM(F2:F8)</f>
        <v>22526.5</v>
      </c>
      <c r="G9" t="str">
        <f t="shared" si="2"/>
        <v>scump</v>
      </c>
    </row>
  </sheetData>
  <conditionalFormatting sqref="G2:G9">
    <cfRule type="cellIs" dxfId="3" priority="2" operator="equal">
      <formula>"scump"</formula>
    </cfRule>
    <cfRule type="cellIs" dxfId="2" priority="1" operator="equal">
      <formula>"accesibil"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</cp:revision>
  <dcterms:created xsi:type="dcterms:W3CDTF">2026-09-07T23:33:08Z</dcterms:created>
  <dcterms:modified xsi:type="dcterms:W3CDTF">2026-09-08T09:53:30Z</dcterms:modified>
  <dc:language>en-US</dc:language>
</cp:coreProperties>
</file>