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Recapitulare-clasa-a-11a\"/>
    </mc:Choice>
  </mc:AlternateContent>
  <xr:revisionPtr revIDLastSave="0" documentId="13_ncr:1_{D20D4811-55D8-49E3-B2C1-3699A1DDFFA7}" xr6:coauthVersionLast="47" xr6:coauthVersionMax="47" xr10:uidLastSave="{00000000-0000-0000-0000-000000000000}"/>
  <bookViews>
    <workbookView xWindow="-120" yWindow="-120" windowWidth="29040" windowHeight="15720" tabRatio="500" firstSheet="3" activeTab="5" xr2:uid="{00000000-000D-0000-FFFF-FFFF00000000}"/>
  </bookViews>
  <sheets>
    <sheet name="Materii si note" sheetId="1" r:id="rId1"/>
    <sheet name="Tabla inmultirii cu 6" sheetId="2" r:id="rId2"/>
    <sheet name="Timp la televizor" sheetId="3" r:id="rId3"/>
    <sheet name="Functii" sheetId="4" r:id="rId4"/>
    <sheet name="Diagrama medii" sheetId="5" r:id="rId5"/>
    <sheet name="Diagrama Viteza Automobil" sheetId="6" r:id="rId6"/>
    <sheet name="Diagrama cresterii populatiei" sheetId="7" r:id="rId7"/>
    <sheet name="Date pentru diagrame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C2" i="4" l="1"/>
  <c r="I6" i="3"/>
  <c r="I5" i="3"/>
  <c r="I4" i="3"/>
  <c r="I3" i="3"/>
  <c r="I7" i="3"/>
  <c r="I8" i="3"/>
  <c r="I9" i="3"/>
  <c r="I10" i="3"/>
  <c r="I11" i="3"/>
  <c r="I2" i="3"/>
</calcChain>
</file>

<file path=xl/sharedStrings.xml><?xml version="1.0" encoding="utf-8"?>
<sst xmlns="http://schemas.openxmlformats.org/spreadsheetml/2006/main" count="136" uniqueCount="136">
  <si>
    <t>MATERIA</t>
  </si>
  <si>
    <t>NOTA1</t>
  </si>
  <si>
    <t>NOTA2</t>
  </si>
  <si>
    <t>NOTA3</t>
  </si>
  <si>
    <t>NOTA4</t>
  </si>
  <si>
    <t>NOTA5</t>
  </si>
  <si>
    <t>MEDIA</t>
  </si>
  <si>
    <t>Nota Mare</t>
  </si>
  <si>
    <t>Nota Mica</t>
  </si>
  <si>
    <t>Suma</t>
  </si>
  <si>
    <t>Matematică</t>
  </si>
  <si>
    <t>Română</t>
  </si>
  <si>
    <t>Istorie</t>
  </si>
  <si>
    <t>Fizică</t>
  </si>
  <si>
    <t>Desen</t>
  </si>
  <si>
    <t>Muzică</t>
  </si>
  <si>
    <t>Sport</t>
  </si>
  <si>
    <t>Geografie</t>
  </si>
  <si>
    <t>Religie</t>
  </si>
  <si>
    <t>Limba Engleza</t>
  </si>
  <si>
    <t>Limba Franceza</t>
  </si>
  <si>
    <t>Chimie</t>
  </si>
  <si>
    <t>TIC</t>
  </si>
  <si>
    <t>Informatică</t>
  </si>
  <si>
    <t>Biologie</t>
  </si>
  <si>
    <t>Media generala</t>
  </si>
  <si>
    <t>Faceți un tabel cu materiile voastre de la școală și cu notele dintr-un an școlar. Pentru exemplul</t>
  </si>
  <si>
    <t>de mai jos vom considera 15 materii, câte 5 note la fiecare materie. Vom calcula media pentru fiecare materie</t>
  </si>
  <si>
    <t>(într-o coloană separată) și media generală la final.</t>
  </si>
  <si>
    <t>Datele s-au preluat din exemplele Unității 1 din manualul A1966.pdf</t>
  </si>
  <si>
    <t xml:space="preserve">Numar </t>
  </si>
  <si>
    <t xml:space="preserve"> Rezultat</t>
  </si>
  <si>
    <t xml:space="preserve">Elev </t>
  </si>
  <si>
    <t xml:space="preserve"> Luni </t>
  </si>
  <si>
    <t xml:space="preserve"> Marti </t>
  </si>
  <si>
    <t xml:space="preserve"> Miercuri </t>
  </si>
  <si>
    <t xml:space="preserve"> Joi </t>
  </si>
  <si>
    <t xml:space="preserve"> Vineri </t>
  </si>
  <si>
    <t xml:space="preserve"> Sambata </t>
  </si>
  <si>
    <t xml:space="preserve"> Duminica </t>
  </si>
  <si>
    <t xml:space="preserve"> Total</t>
  </si>
  <si>
    <t xml:space="preserve">Elev1 </t>
  </si>
  <si>
    <t xml:space="preserve">Elev2 </t>
  </si>
  <si>
    <t xml:space="preserve">Elev3 </t>
  </si>
  <si>
    <t xml:space="preserve">Elev4 </t>
  </si>
  <si>
    <t xml:space="preserve">Elev5 </t>
  </si>
  <si>
    <t xml:space="preserve">Elev6 </t>
  </si>
  <si>
    <t xml:space="preserve">Elev7 </t>
  </si>
  <si>
    <t xml:space="preserve">Elev8 </t>
  </si>
  <si>
    <t xml:space="preserve">Elev9 </t>
  </si>
  <si>
    <t xml:space="preserve">Elev10 </t>
  </si>
  <si>
    <t>Realizați un tabel de colectare a datelor (prin introducere directă) pentru un studiu statistic simplu.</t>
  </si>
  <si>
    <t>Pentru ca tabelul să și arate frumos, selectați</t>
  </si>
  <si>
    <t>celulele cu zilele săptămânii și, de la butonul</t>
  </si>
  <si>
    <t>Culoare de umplere (Fill Color) din grupul Font,</t>
  </si>
  <si>
    <t>fila Pornire (Home), alegeți o nuanță deschisă</t>
  </si>
  <si>
    <t>de portocaliu, apoi selectați celulele cu numele</t>
  </si>
  <si>
    <t>participanților la studiu și colorați-le într-o</t>
  </si>
  <si>
    <t>nuanță de albastru-deschis.</t>
  </si>
  <si>
    <t>Selectați întregul tabel și tot de la grupul</t>
  </si>
  <si>
    <t>Font, de la butonul Borduri (Borders), alegeți</t>
  </si>
  <si>
    <t>toate bordurile pentru a marca marginile tuturor</t>
  </si>
  <si>
    <t>celulelor cu o linie.</t>
  </si>
  <si>
    <t>Tipuri de date: numeric, text,</t>
  </si>
  <si>
    <t>dată calendaristică și altele</t>
  </si>
  <si>
    <t>Poate că cea mai importantă opțiune de formatare a</t>
  </si>
  <si>
    <t>unei celule (din punct de vedere practic) este faptul că o</t>
  </si>
  <si>
    <t>putem configura pentru a avea conținutul de un anumit</t>
  </si>
  <si>
    <r>
      <rPr>
        <sz val="10"/>
        <color rgb="FF000000"/>
        <rFont val="IBMPlexSans"/>
        <charset val="238"/>
      </rPr>
      <t>tip (</t>
    </r>
    <r>
      <rPr>
        <i/>
        <sz val="10"/>
        <color rgb="FF000000"/>
        <rFont val="IBMPlexSans-Italic"/>
        <family val="2"/>
        <charset val="1"/>
      </rPr>
      <t xml:space="preserve">imaginea </t>
    </r>
    <r>
      <rPr>
        <b/>
        <sz val="9"/>
        <color rgb="FF000000"/>
        <rFont val="IBMPlexSans-Bold"/>
        <family val="2"/>
        <charset val="1"/>
      </rPr>
      <t>i</t>
    </r>
    <r>
      <rPr>
        <sz val="10"/>
        <color rgb="FF000000"/>
        <rFont val="IBMPlexSans"/>
        <charset val="238"/>
      </rPr>
      <t>). De exemplu:</t>
    </r>
  </si>
  <si>
    <r>
      <rPr>
        <sz val="10"/>
        <color rgb="FF00ABAD"/>
        <rFont val="Wingdings-Regular"/>
        <charset val="1"/>
      </rPr>
      <t xml:space="preserve">z </t>
    </r>
    <r>
      <rPr>
        <sz val="10"/>
        <color rgb="FF000000"/>
        <rFont val="IBMPlexSans"/>
        <charset val="238"/>
      </rPr>
      <t>număr (puteți configura utilizarea separatorului de mii,</t>
    </r>
  </si>
  <si>
    <t>precum și numărul de zecimale care să se afișeze);</t>
  </si>
  <si>
    <r>
      <rPr>
        <sz val="10"/>
        <color rgb="FF00ABAD"/>
        <rFont val="Wingdings-Regular"/>
        <charset val="1"/>
      </rPr>
      <t xml:space="preserve">z </t>
    </r>
    <r>
      <rPr>
        <sz val="10"/>
        <color rgb="FF000000"/>
        <rFont val="IBMPlexSans"/>
        <charset val="238"/>
      </rPr>
      <t>monedă (puteți configura diferite monede, inclusiv</t>
    </r>
  </si>
  <si>
    <t>RON);</t>
  </si>
  <si>
    <r>
      <rPr>
        <sz val="10"/>
        <color rgb="FF00ABAD"/>
        <rFont val="Wingdings-Regular"/>
        <charset val="1"/>
      </rPr>
      <t xml:space="preserve">z </t>
    </r>
    <r>
      <rPr>
        <sz val="10"/>
        <color rgb="FF000000"/>
        <rFont val="IBMPlexSans"/>
        <charset val="238"/>
      </rPr>
      <t>dată sau oră (puteți face operații cu date, respectiv</t>
    </r>
  </si>
  <si>
    <t>ore);</t>
  </si>
  <si>
    <r>
      <rPr>
        <sz val="10"/>
        <color rgb="FF00ABAD"/>
        <rFont val="Wingdings-Regular"/>
        <charset val="1"/>
      </rPr>
      <t xml:space="preserve">z </t>
    </r>
    <r>
      <rPr>
        <sz val="10"/>
        <color rgb="FF000000"/>
        <rFont val="IBMPlexSans"/>
        <charset val="238"/>
      </rPr>
      <t>procent;</t>
    </r>
  </si>
  <si>
    <r>
      <rPr>
        <sz val="10"/>
        <color rgb="FF00ABAD"/>
        <rFont val="Wingdings-Regular"/>
        <charset val="1"/>
      </rPr>
      <t xml:space="preserve">z </t>
    </r>
    <r>
      <rPr>
        <sz val="10"/>
        <color rgb="FF000000"/>
        <rFont val="IBMPlexSans"/>
        <charset val="238"/>
      </rPr>
      <t>fracție (dacă selectați „fracție” și introduceți în acea</t>
    </r>
  </si>
  <si>
    <t>celulă valoarea „5.5”, va apărea „5 1/2”);</t>
  </si>
  <si>
    <r>
      <rPr>
        <sz val="10"/>
        <color rgb="FF00ABAD"/>
        <rFont val="Wingdings-Regular"/>
        <charset val="1"/>
      </rPr>
      <t xml:space="preserve">z </t>
    </r>
    <r>
      <rPr>
        <sz val="10"/>
        <color rgb="FF000000"/>
        <rFont val="IBMPlexSans"/>
        <charset val="238"/>
      </rPr>
      <t>text etc.</t>
    </r>
  </si>
  <si>
    <r>
      <rPr>
        <sz val="10"/>
        <color rgb="FF55308D"/>
        <rFont val="Arial"/>
        <family val="2"/>
        <charset val="1"/>
      </rPr>
      <t xml:space="preserve">Acum sarcina este să </t>
    </r>
    <r>
      <rPr>
        <b/>
        <sz val="10"/>
        <color rgb="FF55308D"/>
        <rFont val="IBMPlexSans-SemiBold"/>
        <charset val="238"/>
      </rPr>
      <t>ordonați crescător</t>
    </r>
    <r>
      <rPr>
        <sz val="10"/>
        <color rgb="FF55308D"/>
        <rFont val="Arial"/>
        <family val="2"/>
        <charset val="1"/>
      </rPr>
      <t>, după timpul petrecut la TV în ziua de luni, toate</t>
    </r>
  </si>
  <si>
    <t>numele din tabel.</t>
  </si>
  <si>
    <t xml:space="preserve"> Elev </t>
  </si>
  <si>
    <t xml:space="preserve"> Media </t>
  </si>
  <si>
    <t xml:space="preserve"> Situație (IF) </t>
  </si>
  <si>
    <t xml:space="preserve"> Ana </t>
  </si>
  <si>
    <t xml:space="preserve"> Vlad </t>
  </si>
  <si>
    <t xml:space="preserve"> =IF(B3&gt;=5,"Promovat","Respins") </t>
  </si>
  <si>
    <t xml:space="preserve"> Ioana </t>
  </si>
  <si>
    <t xml:space="preserve"> =IF(B4&gt;=5,"Promovat","Respins") </t>
  </si>
  <si>
    <t xml:space="preserve"> Radu </t>
  </si>
  <si>
    <t xml:space="preserve"> =IF(B5&gt;=5,"Promovat","Respins") </t>
  </si>
  <si>
    <t xml:space="preserve"> Maria </t>
  </si>
  <si>
    <t xml:space="preserve"> =IF(B6&gt;=5,"Promovat","Respins") </t>
  </si>
  <si>
    <t xml:space="preserve"> Sorin </t>
  </si>
  <si>
    <t xml:space="preserve"> =IF(B7&gt;=5,"Promovat","Respins") </t>
  </si>
  <si>
    <t xml:space="preserve"> Elena </t>
  </si>
  <si>
    <t xml:space="preserve"> =IF(B8&gt;=5,"Promovat","Respins") </t>
  </si>
  <si>
    <t xml:space="preserve"> Daria </t>
  </si>
  <si>
    <t xml:space="preserve"> =IF(B9&gt;=5,"Promovat","Respins") </t>
  </si>
  <si>
    <t xml:space="preserve"> Mihai </t>
  </si>
  <si>
    <t xml:space="preserve"> =IF(B10&gt;=5,"Promovat","Respins") </t>
  </si>
  <si>
    <t xml:space="preserve"> Andrei </t>
  </si>
  <si>
    <t xml:space="preserve"> =IF(B11&gt;=5,"Promovat","Respins") </t>
  </si>
  <si>
    <t>Media</t>
  </si>
  <si>
    <t>Numărul mediilor</t>
  </si>
  <si>
    <t>avem o școală cu 1 300 de</t>
  </si>
  <si>
    <t>elevi, facem un tabel în care trecem câte medii avem în</t>
  </si>
  <si>
    <t>școală din fiecare (de la 1 la 10), dorind să reprezentăm</t>
  </si>
  <si>
    <t>grafic distribuția mediilor.</t>
  </si>
  <si>
    <r>
      <rPr>
        <sz val="10"/>
        <color rgb="FFBF0041"/>
        <rFont val="Arial"/>
        <family val="2"/>
        <charset val="1"/>
      </rPr>
      <t xml:space="preserve">Selectați întregul tabel, apoi mergeți în fila </t>
    </r>
    <r>
      <rPr>
        <b/>
        <sz val="10"/>
        <color rgb="FFBF0041"/>
        <rFont val="IBMPlexSans-SemiBold"/>
        <family val="2"/>
        <charset val="1"/>
      </rPr>
      <t xml:space="preserve">Inserare </t>
    </r>
    <r>
      <rPr>
        <sz val="10"/>
        <color rgb="FFBF0041"/>
        <rFont val="IBMPlexSans"/>
        <family val="2"/>
        <charset val="1"/>
      </rPr>
      <t>(</t>
    </r>
    <r>
      <rPr>
        <i/>
        <sz val="10"/>
        <color rgb="FFBF0041"/>
        <rFont val="IBMPlexSans-Italic"/>
        <family val="2"/>
        <charset val="1"/>
      </rPr>
      <t>Insert</t>
    </r>
    <r>
      <rPr>
        <sz val="10"/>
        <color rgb="FFBF0041"/>
        <rFont val="Arial"/>
        <family val="2"/>
        <charset val="1"/>
      </rPr>
      <t xml:space="preserve">) și, din grupul </t>
    </r>
    <r>
      <rPr>
        <b/>
        <sz val="10"/>
        <color rgb="FFBF0041"/>
        <rFont val="IBMPlexSans-SemiBold"/>
        <charset val="238"/>
      </rPr>
      <t xml:space="preserve">Diagrame </t>
    </r>
    <r>
      <rPr>
        <sz val="10"/>
        <color rgb="FFBF0041"/>
        <rFont val="IBMPlexSans"/>
        <family val="2"/>
        <charset val="1"/>
      </rPr>
      <t>(</t>
    </r>
    <r>
      <rPr>
        <i/>
        <sz val="10"/>
        <color rgb="FFBF0041"/>
        <rFont val="IBMPlexSans-Italic"/>
        <family val="2"/>
        <charset val="1"/>
      </rPr>
      <t>Charts</t>
    </r>
    <r>
      <rPr>
        <sz val="10"/>
        <color rgb="FFBF0041"/>
        <rFont val="Arial"/>
        <family val="2"/>
        <charset val="1"/>
      </rPr>
      <t>), alegeți diagrama</t>
    </r>
  </si>
  <si>
    <r>
      <rPr>
        <sz val="10"/>
        <color rgb="FFBF0041"/>
        <rFont val="Arial"/>
        <family val="2"/>
        <charset val="1"/>
      </rPr>
      <t xml:space="preserve">cu bare de la </t>
    </r>
    <r>
      <rPr>
        <b/>
        <sz val="10"/>
        <color rgb="FFBF0041"/>
        <rFont val="IBMPlexSans-SemiBold"/>
        <charset val="238"/>
      </rPr>
      <t xml:space="preserve">Diagrame recomandate </t>
    </r>
    <r>
      <rPr>
        <sz val="10"/>
        <color rgb="FFBF0041"/>
        <rFont val="IBMPlexSans"/>
        <family val="2"/>
        <charset val="1"/>
      </rPr>
      <t>(</t>
    </r>
    <r>
      <rPr>
        <i/>
        <sz val="10"/>
        <color rgb="FFBF0041"/>
        <rFont val="IBMPlexSans-Italic"/>
        <charset val="238"/>
      </rPr>
      <t>Recommended Charts</t>
    </r>
    <r>
      <rPr>
        <sz val="10"/>
        <color rgb="FFBF0041"/>
        <rFont val="Arial"/>
        <family val="2"/>
        <charset val="1"/>
      </rPr>
      <t>). Vi se va afișa o diagramă precum cea de mai jos</t>
    </r>
  </si>
  <si>
    <r>
      <rPr>
        <sz val="10"/>
        <color rgb="FFBF0041"/>
        <rFont val="IBMPlexSans"/>
        <family val="2"/>
        <charset val="1"/>
      </rPr>
      <t>(</t>
    </r>
    <r>
      <rPr>
        <i/>
        <sz val="10"/>
        <color rgb="FFBF0041"/>
        <rFont val="IBMPlexSans-Italic"/>
        <family val="2"/>
        <charset val="1"/>
      </rPr>
      <t xml:space="preserve">imaginea </t>
    </r>
    <r>
      <rPr>
        <b/>
        <sz val="9"/>
        <color rgb="FFBF0041"/>
        <rFont val="IBMPlexSans-Bold"/>
        <charset val="238"/>
      </rPr>
      <t>b</t>
    </r>
    <r>
      <rPr>
        <sz val="10"/>
        <color rgb="FFBF0041"/>
        <rFont val="Arial"/>
        <family val="2"/>
        <charset val="1"/>
      </rPr>
      <t>).</t>
    </r>
  </si>
  <si>
    <t>t(s)</t>
  </si>
  <si>
    <t>x(m)</t>
  </si>
  <si>
    <t>viteza</t>
  </si>
  <si>
    <t>casa lui, la diferite momente. Datele obținute de el se regăsesc în tabelul de mai jos.</t>
  </si>
  <si>
    <t>Reprezentați graficul mișcării și calculați viteza automobilului în intervalul de timp considerat.</t>
  </si>
  <si>
    <t>Pentru calcularea vitezei, trebuie să cunoașteți formula</t>
  </si>
  <si>
    <t>vitezei, v = x/t.</t>
  </si>
  <si>
    <t>Populația lumii</t>
  </si>
  <si>
    <t>Numar locuitori (mld.)</t>
  </si>
  <si>
    <t>La geografie, trebuie să reprezentați grafic evoluția numărului de locuitori ai planetei. La o căutare rapidă pe</t>
  </si>
  <si>
    <r>
      <rPr>
        <sz val="10"/>
        <color rgb="FFBF0041"/>
        <rFont val="Arial"/>
        <family val="2"/>
        <charset val="1"/>
      </rPr>
      <t xml:space="preserve">Internet, veți găsi astfel de informații: </t>
    </r>
    <r>
      <rPr>
        <i/>
        <sz val="10"/>
        <color rgb="FFBF0041"/>
        <rFont val="IBMPlexSans-Italic"/>
        <charset val="238"/>
      </rPr>
      <t>În ceea ce priveşte creşterea populaţiei, a fost nevoie de întreaga istorie ca</t>
    </r>
  </si>
  <si>
    <t>populaţia lumii să atingă 1,6 miliarde în anul 1900, totalul acesteia ajungând în 1930 la două miliarde. Al treilea</t>
  </si>
  <si>
    <t>miliard s‑a adăugat până în anul 1960, iar al patrulea miliard până în anul 1977. În doar 12 ani, populaţia a ajuns</t>
  </si>
  <si>
    <t>la 5 miliarde, respectiv până în anul 1989, depăşind 6 miliarde în anul 2000.</t>
  </si>
  <si>
    <t xml:space="preserve">Zi </t>
  </si>
  <si>
    <t xml:space="preserve"> Valoare</t>
  </si>
  <si>
    <t xml:space="preserve">Luni </t>
  </si>
  <si>
    <t xml:space="preserve">Marti </t>
  </si>
  <si>
    <t xml:space="preserve">Miercuri </t>
  </si>
  <si>
    <t xml:space="preserve">Joi </t>
  </si>
  <si>
    <t xml:space="preserve">Vineri </t>
  </si>
  <si>
    <t xml:space="preserve">Sambata </t>
  </si>
  <si>
    <t xml:space="preserve">Duminica </t>
  </si>
  <si>
    <r>
      <t xml:space="preserve">Aveți următoarea problemă de fizică: </t>
    </r>
    <r>
      <rPr>
        <b/>
        <i/>
        <sz val="18"/>
        <color rgb="FFBF0041"/>
        <rFont val="IBMPlexSans-Italic"/>
        <charset val="238"/>
      </rPr>
      <t>Dan a înregistrat într‑un tabel poziția automobilului în care se afla față de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</si>
</sst>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0"/>
      <name val="Arial"/>
      <family val="2"/>
      <charset val="1"/>
    </font>
    <font>
      <sz val="12"/>
      <name val="Arial"/>
      <family val="2"/>
    </font>
    <font>
      <b/>
      <sz val="12"/>
      <name val="Arial"/>
      <family val="2"/>
      <charset val="1"/>
    </font>
    <font>
      <sz val="12"/>
      <name val="Arial"/>
      <family val="2"/>
      <charset val="1"/>
    </font>
    <font>
      <b/>
      <sz val="10"/>
      <color rgb="FFBF0041"/>
      <name val="Arial"/>
      <family val="2"/>
      <charset val="1"/>
    </font>
    <font>
      <sz val="10"/>
      <color rgb="FF55308D"/>
      <name val="Arial"/>
      <family val="2"/>
      <charset val="1"/>
    </font>
    <font>
      <b/>
      <sz val="12"/>
      <color rgb="FF00ABAD"/>
      <name val="Arial"/>
      <family val="2"/>
      <charset val="1"/>
    </font>
    <font>
      <sz val="10"/>
      <color rgb="FF000000"/>
      <name val="IBMPlexSans"/>
      <charset val="238"/>
    </font>
    <font>
      <i/>
      <sz val="10"/>
      <color rgb="FF000000"/>
      <name val="IBMPlexSans-Italic"/>
      <family val="2"/>
      <charset val="1"/>
    </font>
    <font>
      <b/>
      <sz val="9"/>
      <color rgb="FF000000"/>
      <name val="IBMPlexSans-Bold"/>
      <family val="2"/>
      <charset val="1"/>
    </font>
    <font>
      <sz val="10"/>
      <color rgb="FF00ABAD"/>
      <name val="Wingdings-Regular"/>
      <charset val="1"/>
    </font>
    <font>
      <b/>
      <sz val="10"/>
      <color rgb="FF55308D"/>
      <name val="IBMPlexSans-SemiBold"/>
      <charset val="238"/>
    </font>
    <font>
      <sz val="10"/>
      <color rgb="FFBF0041"/>
      <name val="Arial"/>
      <family val="2"/>
      <charset val="1"/>
    </font>
    <font>
      <b/>
      <sz val="10"/>
      <color rgb="FFBF0041"/>
      <name val="IBMPlexSans-SemiBold"/>
      <family val="2"/>
      <charset val="1"/>
    </font>
    <font>
      <sz val="10"/>
      <color rgb="FFBF0041"/>
      <name val="IBMPlexSans"/>
      <family val="2"/>
      <charset val="1"/>
    </font>
    <font>
      <i/>
      <sz val="10"/>
      <color rgb="FFBF0041"/>
      <name val="IBMPlexSans-Italic"/>
      <family val="2"/>
      <charset val="1"/>
    </font>
    <font>
      <b/>
      <sz val="10"/>
      <color rgb="FFBF0041"/>
      <name val="IBMPlexSans-SemiBold"/>
      <charset val="238"/>
    </font>
    <font>
      <i/>
      <sz val="10"/>
      <color rgb="FFBF0041"/>
      <name val="IBMPlexSans-Italic"/>
      <charset val="238"/>
    </font>
    <font>
      <b/>
      <sz val="9"/>
      <color rgb="FFBF0041"/>
      <name val="IBMPlexSans-Bold"/>
      <charset val="238"/>
    </font>
    <font>
      <i/>
      <sz val="10"/>
      <color rgb="FFBF0041"/>
      <name val="Arial"/>
      <family val="2"/>
      <charset val="1"/>
    </font>
    <font>
      <b/>
      <sz val="12"/>
      <name val="Arial"/>
      <family val="2"/>
    </font>
    <font>
      <b/>
      <sz val="20"/>
      <color theme="7"/>
      <name val="Arial"/>
      <family val="2"/>
    </font>
    <font>
      <b/>
      <sz val="10"/>
      <color theme="7"/>
      <name val="Arial"/>
      <family val="2"/>
    </font>
    <font>
      <b/>
      <sz val="16"/>
      <name val="Arial"/>
      <family val="2"/>
      <charset val="1"/>
    </font>
    <font>
      <sz val="16"/>
      <name val="Arial"/>
      <family val="2"/>
      <charset val="1"/>
    </font>
    <font>
      <b/>
      <sz val="16"/>
      <color theme="7"/>
      <name val="Arial"/>
      <family val="2"/>
      <charset val="1"/>
    </font>
    <font>
      <sz val="16"/>
      <color theme="7"/>
      <name val="Arial"/>
      <family val="2"/>
      <charset val="1"/>
    </font>
    <font>
      <b/>
      <sz val="18"/>
      <name val="Arial"/>
      <family val="2"/>
      <charset val="1"/>
    </font>
    <font>
      <b/>
      <sz val="18"/>
      <color rgb="FFBF0041"/>
      <name val="Arial"/>
      <family val="2"/>
      <charset val="1"/>
    </font>
    <font>
      <b/>
      <i/>
      <sz val="18"/>
      <color rgb="FFBF0041"/>
      <name val="IBMPlexSans-Italic"/>
      <charset val="238"/>
    </font>
    <font>
      <b/>
      <i/>
      <sz val="18"/>
      <color rgb="FFBF0041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D7"/>
        <bgColor rgb="FFFFFFFF"/>
      </patternFill>
    </fill>
    <fill>
      <patternFill patternType="solid">
        <fgColor rgb="FF81D41A"/>
        <bgColor rgb="FF969696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0" fillId="2" borderId="0" xfId="0" applyFill="1"/>
    <xf numFmtId="0" fontId="6" fillId="0" borderId="0" xfId="0" applyFont="1"/>
    <xf numFmtId="0" fontId="7" fillId="2" borderId="0" xfId="0" applyFont="1" applyFill="1"/>
    <xf numFmtId="0" fontId="10" fillId="2" borderId="0" xfId="0" applyFont="1" applyFill="1"/>
    <xf numFmtId="0" fontId="12" fillId="2" borderId="0" xfId="0" applyFont="1" applyFill="1"/>
    <xf numFmtId="0" fontId="14" fillId="2" borderId="0" xfId="0" applyFont="1" applyFill="1"/>
    <xf numFmtId="0" fontId="19" fillId="2" borderId="0" xfId="0" applyFont="1" applyFill="1"/>
    <xf numFmtId="0" fontId="20" fillId="0" borderId="0" xfId="0" applyFont="1"/>
    <xf numFmtId="0" fontId="20" fillId="4" borderId="0" xfId="0" applyFont="1" applyFill="1"/>
    <xf numFmtId="0" fontId="20" fillId="5" borderId="0" xfId="0" applyFont="1" applyFill="1"/>
    <xf numFmtId="0" fontId="21" fillId="0" borderId="0" xfId="0" applyFont="1"/>
    <xf numFmtId="0" fontId="22" fillId="0" borderId="0" xfId="0" applyFont="1"/>
    <xf numFmtId="0" fontId="24" fillId="0" borderId="0" xfId="0" applyFont="1"/>
    <xf numFmtId="0" fontId="23" fillId="5" borderId="0" xfId="0" applyFont="1" applyFill="1"/>
    <xf numFmtId="0" fontId="24" fillId="5" borderId="0" xfId="0" applyFont="1" applyFill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7" fillId="3" borderId="0" xfId="0" applyFont="1" applyFill="1"/>
    <xf numFmtId="0" fontId="28" fillId="2" borderId="0" xfId="0" applyFont="1" applyFill="1"/>
    <xf numFmtId="0" fontId="30" fillId="2" borderId="0" xfId="0" applyFont="1" applyFill="1"/>
    <xf numFmtId="0" fontId="27" fillId="2" borderId="0" xfId="0" applyFont="1" applyFill="1"/>
    <xf numFmtId="0" fontId="28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BF0041"/>
      <rgbColor rgb="FF00ABAD"/>
      <rgbColor rgb="FFC0C0C0"/>
      <rgbColor rgb="FF808080"/>
      <rgbColor rgb="FF9999FF"/>
      <rgbColor rgb="FF993366"/>
      <rgbColor rgb="FFFFFFD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55308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'Diagrama medii'!$A$2</c:f>
              <c:strCache>
                <c:ptCount val="1"/>
                <c:pt idx="0">
                  <c:v>Numărul mediilor</c:v>
                </c:pt>
              </c:strCache>
            </c:strRef>
          </c:tx>
          <c:spPr>
            <a:solidFill>
              <a:schemeClr val="accent1"/>
            </a:soli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val>
            <c:numRef>
              <c:f>'Diagrama medii'!$B$2:$K$2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36</c:v>
                </c:pt>
                <c:pt idx="4">
                  <c:v>132</c:v>
                </c:pt>
                <c:pt idx="5">
                  <c:v>234</c:v>
                </c:pt>
                <c:pt idx="6">
                  <c:v>243</c:v>
                </c:pt>
                <c:pt idx="7">
                  <c:v>292</c:v>
                </c:pt>
                <c:pt idx="8">
                  <c:v>267</c:v>
                </c:pt>
                <c:pt idx="9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1D-479B-BF38-E595422010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12043119"/>
        <c:axId val="1516771215"/>
      </c:barChart>
      <c:catAx>
        <c:axId val="15120431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6771215"/>
        <c:crosses val="autoZero"/>
        <c:auto val="1"/>
        <c:lblAlgn val="ctr"/>
        <c:lblOffset val="100"/>
        <c:noMultiLvlLbl val="0"/>
      </c:catAx>
      <c:valAx>
        <c:axId val="1516771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043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'Diagrama Viteza Automobil'!$A$2</c:f>
              <c:strCache>
                <c:ptCount val="1"/>
                <c:pt idx="0">
                  <c:v>x(m)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'Diagrama Viteza Automobil'!$B$2:$J$2</c:f>
              <c:numCache>
                <c:formatCode>General</c:formatCode>
                <c:ptCount val="9"/>
                <c:pt idx="0">
                  <c:v>10</c:v>
                </c:pt>
                <c:pt idx="1">
                  <c:v>11.5</c:v>
                </c:pt>
                <c:pt idx="2">
                  <c:v>13</c:v>
                </c:pt>
                <c:pt idx="3">
                  <c:v>14.5</c:v>
                </c:pt>
                <c:pt idx="4">
                  <c:v>16</c:v>
                </c:pt>
                <c:pt idx="5">
                  <c:v>17.5</c:v>
                </c:pt>
                <c:pt idx="6">
                  <c:v>19</c:v>
                </c:pt>
                <c:pt idx="7">
                  <c:v>20.5</c:v>
                </c:pt>
                <c:pt idx="8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63-456E-862F-C81FCD3508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1141423"/>
        <c:axId val="1516764015"/>
      </c:lineChart>
      <c:catAx>
        <c:axId val="17111414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6764015"/>
        <c:crosses val="autoZero"/>
        <c:auto val="1"/>
        <c:lblAlgn val="ctr"/>
        <c:lblOffset val="100"/>
        <c:noMultiLvlLbl val="0"/>
      </c:catAx>
      <c:valAx>
        <c:axId val="1516764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14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3.png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60680</xdr:colOff>
      <xdr:row>11</xdr:row>
      <xdr:rowOff>77969</xdr:rowOff>
    </xdr:from>
    <xdr:to>
      <xdr:col>11</xdr:col>
      <xdr:colOff>263359</xdr:colOff>
      <xdr:row>33</xdr:row>
      <xdr:rowOff>155054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60680" y="2431204"/>
          <a:ext cx="8707944" cy="3730203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75197</xdr:colOff>
      <xdr:row>3</xdr:row>
      <xdr:rowOff>45119</xdr:rowOff>
    </xdr:from>
    <xdr:to>
      <xdr:col>12</xdr:col>
      <xdr:colOff>34585</xdr:colOff>
      <xdr:row>12</xdr:row>
      <xdr:rowOff>102358</xdr:rowOff>
    </xdr:to>
    <xdr:pic>
      <xdr:nvPicPr>
        <xdr:cNvPr id="2" name="Image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75197" y="812132"/>
          <a:ext cx="8496796" cy="1501029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10</xdr:col>
      <xdr:colOff>165308</xdr:colOff>
      <xdr:row>44</xdr:row>
      <xdr:rowOff>20520</xdr:rowOff>
    </xdr:to>
    <xdr:pic>
      <xdr:nvPicPr>
        <xdr:cNvPr id="3" name="Image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5272560"/>
          <a:ext cx="7506000" cy="197100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2</xdr:col>
      <xdr:colOff>278230</xdr:colOff>
      <xdr:row>2</xdr:row>
      <xdr:rowOff>197519</xdr:rowOff>
    </xdr:from>
    <xdr:to>
      <xdr:col>9</xdr:col>
      <xdr:colOff>694322</xdr:colOff>
      <xdr:row>19</xdr:row>
      <xdr:rowOff>118311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A5E89C6-7749-BD4D-FAB3-6C51D3D397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513466</xdr:colOff>
      <xdr:row>6</xdr:row>
      <xdr:rowOff>156776</xdr:rowOff>
    </xdr:from>
    <xdr:to>
      <xdr:col>13</xdr:col>
      <xdr:colOff>166328</xdr:colOff>
      <xdr:row>16</xdr:row>
      <xdr:rowOff>93213</xdr:rowOff>
    </xdr:to>
    <xdr:pic>
      <xdr:nvPicPr>
        <xdr:cNvPr id="4" name="Image 4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6691844" y="1933060"/>
          <a:ext cx="3514349" cy="2253329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2</xdr:col>
      <xdr:colOff>532884</xdr:colOff>
      <xdr:row>6</xdr:row>
      <xdr:rowOff>218045</xdr:rowOff>
    </xdr:from>
    <xdr:to>
      <xdr:col>8</xdr:col>
      <xdr:colOff>471101</xdr:colOff>
      <xdr:row>20</xdr:row>
      <xdr:rowOff>772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00913E-86F1-B287-D9CD-70D16DF01A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0</xdr:rowOff>
    </xdr:from>
    <xdr:to>
      <xdr:col>5</xdr:col>
      <xdr:colOff>21960</xdr:colOff>
      <xdr:row>27</xdr:row>
      <xdr:rowOff>19800</xdr:rowOff>
    </xdr:to>
    <xdr:pic>
      <xdr:nvPicPr>
        <xdr:cNvPr id="5" name="Image 5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2275920"/>
          <a:ext cx="5019480" cy="21330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zoomScaleNormal="100" workbookViewId="0">
      <selection sqref="A1:J17"/>
    </sheetView>
  </sheetViews>
  <sheetFormatPr defaultColWidth="11.5703125" defaultRowHeight="12.75"/>
  <sheetData>
    <row r="1" spans="1:10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5">
      <c r="A2" s="1" t="s">
        <v>10</v>
      </c>
      <c r="B2" s="1">
        <v>8</v>
      </c>
      <c r="C2" s="1">
        <v>7</v>
      </c>
      <c r="D2" s="1">
        <v>9</v>
      </c>
      <c r="E2" s="1">
        <v>10</v>
      </c>
      <c r="F2" s="1">
        <v>6</v>
      </c>
      <c r="G2" s="3"/>
      <c r="H2" s="3"/>
      <c r="I2" s="3"/>
      <c r="J2" s="3"/>
    </row>
    <row r="3" spans="1:10" ht="15">
      <c r="A3" s="1" t="s">
        <v>11</v>
      </c>
      <c r="B3" s="1">
        <v>10</v>
      </c>
      <c r="C3" s="1">
        <v>9</v>
      </c>
      <c r="D3" s="1">
        <v>8</v>
      </c>
      <c r="E3" s="1">
        <v>7</v>
      </c>
      <c r="F3" s="1">
        <v>10</v>
      </c>
      <c r="G3" s="3"/>
      <c r="H3" s="3"/>
      <c r="I3" s="3"/>
      <c r="J3" s="3"/>
    </row>
    <row r="4" spans="1:10" ht="15">
      <c r="A4" s="1" t="s">
        <v>12</v>
      </c>
      <c r="B4" s="3">
        <v>6</v>
      </c>
      <c r="C4" s="1">
        <v>7</v>
      </c>
      <c r="D4" s="1">
        <v>8</v>
      </c>
      <c r="E4" s="1">
        <v>9</v>
      </c>
      <c r="F4" s="1">
        <v>10</v>
      </c>
      <c r="G4" s="3"/>
      <c r="H4" s="3"/>
      <c r="I4" s="3"/>
      <c r="J4" s="3"/>
    </row>
    <row r="5" spans="1:10" ht="15">
      <c r="A5" s="1" t="s">
        <v>13</v>
      </c>
      <c r="B5" s="1">
        <v>7</v>
      </c>
      <c r="C5" s="1">
        <v>6</v>
      </c>
      <c r="D5" s="1">
        <v>8</v>
      </c>
      <c r="E5" s="1">
        <v>7</v>
      </c>
      <c r="F5" s="1">
        <v>9</v>
      </c>
      <c r="G5" s="3"/>
      <c r="H5" s="3"/>
      <c r="I5" s="3"/>
      <c r="J5" s="3"/>
    </row>
    <row r="6" spans="1:10" ht="15">
      <c r="A6" s="1" t="s">
        <v>14</v>
      </c>
      <c r="B6" s="1">
        <v>10</v>
      </c>
      <c r="C6" s="1">
        <v>9</v>
      </c>
      <c r="D6" s="1">
        <v>8</v>
      </c>
      <c r="E6" s="1">
        <v>10</v>
      </c>
      <c r="F6" s="1">
        <v>7</v>
      </c>
      <c r="G6" s="3"/>
      <c r="H6" s="3"/>
      <c r="I6" s="3"/>
      <c r="J6" s="3"/>
    </row>
    <row r="7" spans="1:10" ht="15">
      <c r="A7" s="1" t="s">
        <v>15</v>
      </c>
      <c r="B7" s="1">
        <v>9</v>
      </c>
      <c r="C7" s="1">
        <v>10</v>
      </c>
      <c r="D7" s="1">
        <v>8</v>
      </c>
      <c r="E7" s="1">
        <v>9</v>
      </c>
      <c r="F7" s="1">
        <v>10</v>
      </c>
      <c r="G7" s="3"/>
      <c r="H7" s="3"/>
      <c r="I7" s="3"/>
      <c r="J7" s="3"/>
    </row>
    <row r="8" spans="1:10" ht="15">
      <c r="A8" s="1" t="s">
        <v>16</v>
      </c>
      <c r="B8" s="1">
        <v>10</v>
      </c>
      <c r="C8" s="1">
        <v>9</v>
      </c>
      <c r="D8" s="1">
        <v>10</v>
      </c>
      <c r="E8" s="1">
        <v>8</v>
      </c>
      <c r="F8" s="1">
        <v>9</v>
      </c>
      <c r="G8" s="3"/>
      <c r="H8" s="3"/>
      <c r="I8" s="3"/>
      <c r="J8" s="3"/>
    </row>
    <row r="9" spans="1:10" ht="15">
      <c r="A9" s="1" t="s">
        <v>17</v>
      </c>
      <c r="B9" s="1">
        <v>7</v>
      </c>
      <c r="C9" s="1">
        <v>8</v>
      </c>
      <c r="D9" s="1">
        <v>6</v>
      </c>
      <c r="E9" s="1">
        <v>9</v>
      </c>
      <c r="F9" s="1">
        <v>10</v>
      </c>
      <c r="G9" s="3"/>
      <c r="H9" s="3"/>
      <c r="I9" s="3"/>
      <c r="J9" s="3"/>
    </row>
    <row r="10" spans="1:10" ht="15">
      <c r="A10" s="1" t="s">
        <v>18</v>
      </c>
      <c r="B10" s="3">
        <v>9</v>
      </c>
      <c r="C10" s="1">
        <v>10</v>
      </c>
      <c r="D10" s="1">
        <v>8</v>
      </c>
      <c r="E10" s="1">
        <v>7</v>
      </c>
      <c r="F10" s="1">
        <v>9</v>
      </c>
      <c r="G10" s="3"/>
      <c r="H10" s="3"/>
      <c r="I10" s="3"/>
      <c r="J10" s="3"/>
    </row>
    <row r="11" spans="1:10" ht="15">
      <c r="A11" s="1" t="s">
        <v>19</v>
      </c>
      <c r="B11" s="1">
        <v>8</v>
      </c>
      <c r="C11" s="1">
        <v>9</v>
      </c>
      <c r="D11" s="1">
        <v>10</v>
      </c>
      <c r="E11" s="1">
        <v>7</v>
      </c>
      <c r="F11" s="3">
        <v>8</v>
      </c>
      <c r="G11" s="3"/>
      <c r="H11" s="3"/>
      <c r="I11" s="3"/>
      <c r="J11" s="3"/>
    </row>
    <row r="12" spans="1:10" ht="15">
      <c r="A12" s="1" t="s">
        <v>20</v>
      </c>
      <c r="B12" s="1">
        <v>7</v>
      </c>
      <c r="C12" s="1">
        <v>6</v>
      </c>
      <c r="D12" s="1">
        <v>8</v>
      </c>
      <c r="E12" s="1">
        <v>9</v>
      </c>
      <c r="F12" s="3">
        <v>10</v>
      </c>
      <c r="G12" s="3"/>
      <c r="H12" s="3"/>
      <c r="I12" s="3"/>
      <c r="J12" s="3"/>
    </row>
    <row r="13" spans="1:10" ht="15">
      <c r="A13" s="1" t="s">
        <v>21</v>
      </c>
      <c r="B13" s="1">
        <v>6</v>
      </c>
      <c r="C13" s="1">
        <v>7</v>
      </c>
      <c r="D13" s="1">
        <v>8</v>
      </c>
      <c r="E13" s="1">
        <v>9</v>
      </c>
      <c r="F13" s="1">
        <v>7</v>
      </c>
      <c r="G13" s="3"/>
      <c r="H13" s="3"/>
      <c r="I13" s="3"/>
      <c r="J13" s="3"/>
    </row>
    <row r="14" spans="1:10" ht="15">
      <c r="A14" s="1" t="s">
        <v>22</v>
      </c>
      <c r="B14" s="3">
        <v>9</v>
      </c>
      <c r="C14" s="1">
        <v>8</v>
      </c>
      <c r="D14" s="1">
        <v>10</v>
      </c>
      <c r="E14" s="1">
        <v>7</v>
      </c>
      <c r="F14" s="1">
        <v>9</v>
      </c>
      <c r="G14" s="3"/>
      <c r="H14" s="3"/>
      <c r="I14" s="3"/>
      <c r="J14" s="3"/>
    </row>
    <row r="15" spans="1:10" ht="15">
      <c r="A15" s="1" t="s">
        <v>23</v>
      </c>
      <c r="B15" s="3">
        <v>10</v>
      </c>
      <c r="C15" s="1">
        <v>9</v>
      </c>
      <c r="D15" s="1">
        <v>8</v>
      </c>
      <c r="E15" s="1">
        <v>10</v>
      </c>
      <c r="F15" s="1">
        <v>9</v>
      </c>
      <c r="G15" s="3"/>
      <c r="H15" s="3"/>
      <c r="I15" s="3"/>
      <c r="J15" s="3"/>
    </row>
    <row r="16" spans="1:10" ht="15">
      <c r="A16" s="1" t="s">
        <v>24</v>
      </c>
      <c r="B16" s="1">
        <v>7</v>
      </c>
      <c r="C16" s="1">
        <v>8</v>
      </c>
      <c r="D16" s="1">
        <v>6</v>
      </c>
      <c r="E16" s="1">
        <v>7</v>
      </c>
      <c r="F16" s="1">
        <v>9</v>
      </c>
      <c r="G16" s="3"/>
      <c r="H16" s="3"/>
      <c r="I16" s="3"/>
      <c r="J16" s="3"/>
    </row>
    <row r="17" spans="1:10" ht="15">
      <c r="A17" s="3"/>
      <c r="B17" s="3"/>
      <c r="C17" s="3"/>
      <c r="D17" s="3"/>
      <c r="E17" s="3"/>
      <c r="F17" s="3" t="s">
        <v>25</v>
      </c>
      <c r="G17" s="3"/>
      <c r="H17" s="3"/>
      <c r="I17" s="3"/>
      <c r="J17" s="3"/>
    </row>
    <row r="20" spans="1:10">
      <c r="A20" s="4" t="s">
        <v>26</v>
      </c>
    </row>
    <row r="21" spans="1:10">
      <c r="A21" s="4" t="s">
        <v>27</v>
      </c>
    </row>
    <row r="22" spans="1:10">
      <c r="A22" s="4" t="s">
        <v>28</v>
      </c>
    </row>
    <row r="23" spans="1:10">
      <c r="A23" s="4"/>
    </row>
    <row r="24" spans="1:10">
      <c r="A24" s="4" t="s">
        <v>29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zoomScaleNormal="100" workbookViewId="0">
      <selection sqref="A1:J17"/>
    </sheetView>
  </sheetViews>
  <sheetFormatPr defaultColWidth="11.5703125" defaultRowHeight="12.75"/>
  <sheetData>
    <row r="1" spans="1:2">
      <c r="A1" t="s">
        <v>30</v>
      </c>
      <c r="B1" t="s">
        <v>31</v>
      </c>
    </row>
    <row r="2" spans="1:2">
      <c r="A2">
        <v>1</v>
      </c>
    </row>
    <row r="3" spans="1:2">
      <c r="A3">
        <v>2</v>
      </c>
    </row>
    <row r="4" spans="1:2">
      <c r="A4">
        <v>3</v>
      </c>
    </row>
    <row r="5" spans="1:2">
      <c r="A5">
        <v>4</v>
      </c>
    </row>
    <row r="6" spans="1:2">
      <c r="A6">
        <v>5</v>
      </c>
    </row>
    <row r="7" spans="1:2">
      <c r="A7">
        <v>6</v>
      </c>
    </row>
    <row r="8" spans="1:2">
      <c r="A8">
        <v>7</v>
      </c>
    </row>
    <row r="9" spans="1:2">
      <c r="A9">
        <v>8</v>
      </c>
    </row>
    <row r="10" spans="1:2">
      <c r="A10">
        <v>9</v>
      </c>
    </row>
    <row r="11" spans="1:2">
      <c r="A11">
        <v>10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5"/>
  <sheetViews>
    <sheetView zoomScale="170" zoomScaleNormal="170" workbookViewId="0">
      <selection activeCell="B2" sqref="B2"/>
    </sheetView>
  </sheetViews>
  <sheetFormatPr defaultColWidth="11.5703125" defaultRowHeight="12.75"/>
  <sheetData>
    <row r="1" spans="1:9" ht="26.25">
      <c r="A1" s="13" t="s">
        <v>32</v>
      </c>
      <c r="B1" s="15" t="s">
        <v>33</v>
      </c>
      <c r="C1" s="15" t="s">
        <v>34</v>
      </c>
      <c r="D1" s="15" t="s">
        <v>35</v>
      </c>
      <c r="E1" s="15" t="s">
        <v>36</v>
      </c>
      <c r="F1" s="15" t="s">
        <v>37</v>
      </c>
      <c r="G1" s="15" t="s">
        <v>38</v>
      </c>
      <c r="H1" s="15" t="s">
        <v>39</v>
      </c>
      <c r="I1" s="16" t="s">
        <v>40</v>
      </c>
    </row>
    <row r="2" spans="1:9" ht="15.75">
      <c r="A2" s="14" t="s">
        <v>41</v>
      </c>
      <c r="B2" s="13">
        <v>18</v>
      </c>
      <c r="C2" s="13">
        <v>233</v>
      </c>
      <c r="D2" s="13">
        <v>41</v>
      </c>
      <c r="E2" s="13">
        <v>33</v>
      </c>
      <c r="F2" s="13">
        <v>43</v>
      </c>
      <c r="G2" s="13">
        <v>0</v>
      </c>
      <c r="H2" s="13">
        <v>0</v>
      </c>
      <c r="I2" s="17">
        <f>SUM(B2:H2)</f>
        <v>368</v>
      </c>
    </row>
    <row r="3" spans="1:9" ht="15.75">
      <c r="A3" s="14" t="s">
        <v>42</v>
      </c>
      <c r="B3" s="13">
        <v>23</v>
      </c>
      <c r="C3" s="13">
        <v>43</v>
      </c>
      <c r="D3" s="13">
        <v>22</v>
      </c>
      <c r="E3" s="13">
        <v>51</v>
      </c>
      <c r="F3" s="13">
        <v>11</v>
      </c>
      <c r="G3" s="13">
        <v>0</v>
      </c>
      <c r="H3" s="13">
        <v>0</v>
      </c>
      <c r="I3" s="17">
        <f>SUM(B3:H3)</f>
        <v>150</v>
      </c>
    </row>
    <row r="4" spans="1:9" ht="15.75">
      <c r="A4" s="14" t="s">
        <v>43</v>
      </c>
      <c r="B4" s="13">
        <v>43</v>
      </c>
      <c r="C4" s="13">
        <v>55</v>
      </c>
      <c r="D4" s="13">
        <v>12</v>
      </c>
      <c r="E4" s="13">
        <v>15</v>
      </c>
      <c r="F4" s="13">
        <v>19</v>
      </c>
      <c r="G4" s="13">
        <v>45</v>
      </c>
      <c r="H4" s="13">
        <v>0</v>
      </c>
      <c r="I4" s="17">
        <f>SUM(B4:H4)</f>
        <v>189</v>
      </c>
    </row>
    <row r="5" spans="1:9" ht="15.75">
      <c r="A5" s="14" t="s">
        <v>44</v>
      </c>
      <c r="B5" s="13">
        <v>44</v>
      </c>
      <c r="C5" s="13">
        <v>22</v>
      </c>
      <c r="D5" s="13">
        <v>56</v>
      </c>
      <c r="E5" s="13">
        <v>10</v>
      </c>
      <c r="F5" s="13">
        <v>10</v>
      </c>
      <c r="G5" s="13">
        <v>110</v>
      </c>
      <c r="H5" s="13">
        <v>0</v>
      </c>
      <c r="I5" s="17">
        <f>SUM(B5:H5)</f>
        <v>252</v>
      </c>
    </row>
    <row r="6" spans="1:9" ht="15.75">
      <c r="A6" s="14" t="s">
        <v>45</v>
      </c>
      <c r="B6" s="13">
        <v>18</v>
      </c>
      <c r="C6" s="13">
        <v>43</v>
      </c>
      <c r="D6" s="13">
        <v>82</v>
      </c>
      <c r="E6" s="13">
        <v>19</v>
      </c>
      <c r="F6" s="13">
        <v>14</v>
      </c>
      <c r="G6" s="13">
        <v>90</v>
      </c>
      <c r="H6" s="13">
        <v>0</v>
      </c>
      <c r="I6" s="17">
        <f>SUM(B6:H6)</f>
        <v>266</v>
      </c>
    </row>
    <row r="7" spans="1:9" ht="15.75">
      <c r="A7" s="14" t="s">
        <v>46</v>
      </c>
      <c r="B7" s="13">
        <v>0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7">
        <f>SUM(B7:H7)</f>
        <v>0</v>
      </c>
    </row>
    <row r="8" spans="1:9" ht="15.75">
      <c r="A8" s="14" t="s">
        <v>47</v>
      </c>
      <c r="B8" s="13">
        <v>0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7">
        <f>SUM(B8:H8)</f>
        <v>0</v>
      </c>
    </row>
    <row r="9" spans="1:9" ht="15.75">
      <c r="A9" s="14" t="s">
        <v>48</v>
      </c>
      <c r="B9" s="13">
        <v>0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7">
        <f>SUM(B9:H9)</f>
        <v>0</v>
      </c>
    </row>
    <row r="10" spans="1:9" ht="15.75">
      <c r="A10" s="14" t="s">
        <v>49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7">
        <f>SUM(B10:H10)</f>
        <v>0</v>
      </c>
    </row>
    <row r="11" spans="1:9" ht="15.75">
      <c r="A11" s="14" t="s">
        <v>50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7">
        <f>SUM(B11:H11)</f>
        <v>0</v>
      </c>
    </row>
    <row r="14" spans="1:9">
      <c r="A14" s="4" t="s">
        <v>51</v>
      </c>
    </row>
    <row r="15" spans="1:9">
      <c r="A15" s="5" t="s">
        <v>52</v>
      </c>
      <c r="B15" s="5"/>
      <c r="C15" s="6"/>
      <c r="D15" s="6"/>
    </row>
    <row r="16" spans="1:9">
      <c r="A16" s="5" t="s">
        <v>53</v>
      </c>
      <c r="B16" s="5"/>
      <c r="C16" s="6"/>
      <c r="D16" s="6"/>
    </row>
    <row r="17" spans="1:4">
      <c r="A17" s="5" t="s">
        <v>54</v>
      </c>
      <c r="B17" s="5"/>
      <c r="C17" s="6"/>
      <c r="D17" s="6"/>
    </row>
    <row r="18" spans="1:4">
      <c r="A18" s="5" t="s">
        <v>55</v>
      </c>
      <c r="B18" s="5"/>
      <c r="C18" s="6"/>
      <c r="D18" s="6"/>
    </row>
    <row r="19" spans="1:4">
      <c r="A19" s="5" t="s">
        <v>56</v>
      </c>
      <c r="B19" s="5"/>
      <c r="C19" s="6"/>
      <c r="D19" s="6"/>
    </row>
    <row r="20" spans="1:4">
      <c r="A20" s="5" t="s">
        <v>57</v>
      </c>
      <c r="B20" s="5"/>
      <c r="C20" s="6"/>
      <c r="D20" s="6"/>
    </row>
    <row r="21" spans="1:4">
      <c r="A21" s="5" t="s">
        <v>58</v>
      </c>
      <c r="B21" s="5"/>
      <c r="C21" s="6"/>
      <c r="D21" s="6"/>
    </row>
    <row r="22" spans="1:4">
      <c r="A22" s="5" t="s">
        <v>59</v>
      </c>
      <c r="B22" s="5"/>
      <c r="C22" s="6"/>
      <c r="D22" s="6"/>
    </row>
    <row r="23" spans="1:4">
      <c r="A23" s="5" t="s">
        <v>60</v>
      </c>
      <c r="B23" s="5"/>
      <c r="C23" s="6"/>
      <c r="D23" s="6"/>
    </row>
    <row r="24" spans="1:4">
      <c r="A24" s="5" t="s">
        <v>61</v>
      </c>
      <c r="B24" s="5"/>
      <c r="C24" s="6"/>
      <c r="D24" s="6"/>
    </row>
    <row r="25" spans="1:4">
      <c r="A25" s="5" t="s">
        <v>62</v>
      </c>
      <c r="B25" s="5"/>
      <c r="C25" s="6"/>
      <c r="D25" s="6"/>
    </row>
    <row r="27" spans="1:4" ht="15.75">
      <c r="A27" s="7" t="s">
        <v>63</v>
      </c>
    </row>
    <row r="28" spans="1:4" ht="15.75">
      <c r="A28" s="7" t="s">
        <v>64</v>
      </c>
    </row>
    <row r="29" spans="1:4">
      <c r="A29" s="5" t="s">
        <v>65</v>
      </c>
      <c r="B29" s="5"/>
      <c r="C29" s="5"/>
      <c r="D29" s="5"/>
    </row>
    <row r="30" spans="1:4">
      <c r="A30" s="5" t="s">
        <v>66</v>
      </c>
      <c r="B30" s="5"/>
      <c r="C30" s="5"/>
      <c r="D30" s="5"/>
    </row>
    <row r="31" spans="1:4">
      <c r="A31" s="5" t="s">
        <v>67</v>
      </c>
      <c r="B31" s="5"/>
      <c r="C31" s="5"/>
      <c r="D31" s="5"/>
    </row>
    <row r="32" spans="1:4">
      <c r="A32" s="8" t="s">
        <v>68</v>
      </c>
      <c r="B32" s="5"/>
      <c r="C32" s="5"/>
      <c r="D32" s="5"/>
    </row>
    <row r="33" spans="1:7">
      <c r="A33" s="9" t="s">
        <v>69</v>
      </c>
      <c r="B33" s="5"/>
      <c r="C33" s="5"/>
      <c r="D33" s="5"/>
    </row>
    <row r="34" spans="1:7">
      <c r="A34" s="5" t="s">
        <v>70</v>
      </c>
      <c r="B34" s="5"/>
      <c r="C34" s="5"/>
      <c r="D34" s="5"/>
    </row>
    <row r="35" spans="1:7">
      <c r="A35" s="9" t="s">
        <v>71</v>
      </c>
      <c r="B35" s="5"/>
      <c r="C35" s="5"/>
      <c r="D35" s="5"/>
    </row>
    <row r="36" spans="1:7">
      <c r="A36" s="5" t="s">
        <v>72</v>
      </c>
      <c r="B36" s="5"/>
      <c r="C36" s="5"/>
      <c r="D36" s="5"/>
    </row>
    <row r="37" spans="1:7">
      <c r="A37" s="9" t="s">
        <v>73</v>
      </c>
      <c r="B37" s="5"/>
      <c r="C37" s="5"/>
      <c r="D37" s="5"/>
    </row>
    <row r="38" spans="1:7">
      <c r="A38" s="5" t="s">
        <v>74</v>
      </c>
      <c r="B38" s="5"/>
      <c r="C38" s="5"/>
      <c r="D38" s="5"/>
    </row>
    <row r="39" spans="1:7">
      <c r="A39" s="9" t="s">
        <v>75</v>
      </c>
      <c r="B39" s="5"/>
      <c r="C39" s="5"/>
      <c r="D39" s="5"/>
    </row>
    <row r="40" spans="1:7">
      <c r="A40" s="9" t="s">
        <v>76</v>
      </c>
      <c r="B40" s="5"/>
      <c r="C40" s="5"/>
      <c r="D40" s="5"/>
    </row>
    <row r="41" spans="1:7">
      <c r="A41" s="5" t="s">
        <v>77</v>
      </c>
      <c r="B41" s="5"/>
      <c r="C41" s="5"/>
      <c r="D41" s="5"/>
    </row>
    <row r="42" spans="1:7">
      <c r="A42" s="9" t="s">
        <v>78</v>
      </c>
      <c r="B42" s="5"/>
      <c r="C42" s="5"/>
      <c r="D42" s="5"/>
    </row>
    <row r="44" spans="1:7">
      <c r="A44" s="5" t="s">
        <v>79</v>
      </c>
      <c r="B44" s="6"/>
      <c r="C44" s="6"/>
      <c r="D44" s="6"/>
      <c r="E44" s="6"/>
      <c r="F44" s="6"/>
      <c r="G44" s="6"/>
    </row>
    <row r="45" spans="1:7">
      <c r="A45" s="5" t="s">
        <v>80</v>
      </c>
      <c r="B45" s="6"/>
      <c r="C45" s="6"/>
      <c r="D45" s="6"/>
      <c r="E45" s="6"/>
      <c r="F45" s="6"/>
      <c r="G45" s="6"/>
    </row>
  </sheetData>
  <sortState xmlns:xlrd2="http://schemas.microsoft.com/office/spreadsheetml/2017/richdata2" ref="I2:I11">
    <sortCondition descending="1" ref="I2:I11"/>
  </sortState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zoomScale="250" zoomScaleNormal="250" workbookViewId="0">
      <selection activeCell="C2" sqref="C2"/>
    </sheetView>
  </sheetViews>
  <sheetFormatPr defaultColWidth="11.5703125" defaultRowHeight="12.75"/>
  <sheetData>
    <row r="1" spans="1:3">
      <c r="A1" t="s">
        <v>81</v>
      </c>
      <c r="B1" t="s">
        <v>82</v>
      </c>
      <c r="C1" s="17" t="s">
        <v>83</v>
      </c>
    </row>
    <row r="2" spans="1:3">
      <c r="A2" t="s">
        <v>84</v>
      </c>
      <c r="B2">
        <v>9.1999999999999993</v>
      </c>
      <c r="C2" s="17" t="str">
        <f>IF(B2&gt;=5,"Promovat","Respins")</f>
        <v>Promovat</v>
      </c>
    </row>
    <row r="3" spans="1:3">
      <c r="A3" t="s">
        <v>85</v>
      </c>
      <c r="B3">
        <v>4.75</v>
      </c>
      <c r="C3" s="17" t="s">
        <v>86</v>
      </c>
    </row>
    <row r="4" spans="1:3">
      <c r="A4" t="s">
        <v>87</v>
      </c>
      <c r="B4">
        <v>7.1</v>
      </c>
      <c r="C4" s="17" t="s">
        <v>88</v>
      </c>
    </row>
    <row r="5" spans="1:3">
      <c r="A5" t="s">
        <v>89</v>
      </c>
      <c r="B5">
        <v>3.9</v>
      </c>
      <c r="C5" s="17" t="s">
        <v>90</v>
      </c>
    </row>
    <row r="6" spans="1:3">
      <c r="A6" t="s">
        <v>91</v>
      </c>
      <c r="B6">
        <v>10</v>
      </c>
      <c r="C6" s="17" t="s">
        <v>92</v>
      </c>
    </row>
    <row r="7" spans="1:3">
      <c r="A7" t="s">
        <v>93</v>
      </c>
      <c r="B7">
        <v>5</v>
      </c>
      <c r="C7" s="17" t="s">
        <v>94</v>
      </c>
    </row>
    <row r="8" spans="1:3">
      <c r="A8" t="s">
        <v>95</v>
      </c>
      <c r="B8">
        <v>4.99</v>
      </c>
      <c r="C8" s="17" t="s">
        <v>96</v>
      </c>
    </row>
    <row r="9" spans="1:3">
      <c r="A9" t="s">
        <v>97</v>
      </c>
      <c r="B9">
        <v>8.4499999999999993</v>
      </c>
      <c r="C9" s="17" t="s">
        <v>98</v>
      </c>
    </row>
    <row r="10" spans="1:3">
      <c r="A10" t="s">
        <v>99</v>
      </c>
      <c r="B10">
        <v>2.5</v>
      </c>
      <c r="C10" s="17" t="s">
        <v>100</v>
      </c>
    </row>
    <row r="11" spans="1:3">
      <c r="A11" t="s">
        <v>101</v>
      </c>
      <c r="B11">
        <v>6.3</v>
      </c>
      <c r="C11" s="17" t="s">
        <v>102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1"/>
  <sheetViews>
    <sheetView zoomScale="190" zoomScaleNormal="190" workbookViewId="0">
      <selection activeCell="B18" sqref="B18"/>
    </sheetView>
  </sheetViews>
  <sheetFormatPr defaultColWidth="11.5703125" defaultRowHeight="12.75"/>
  <cols>
    <col min="1" max="1" width="25.7109375" customWidth="1"/>
    <col min="2" max="2" width="5.28515625" customWidth="1"/>
    <col min="3" max="3" width="5.42578125" customWidth="1"/>
    <col min="4" max="4" width="4.85546875" customWidth="1"/>
    <col min="5" max="5" width="5.7109375" customWidth="1"/>
  </cols>
  <sheetData>
    <row r="1" spans="1:11" ht="20.25">
      <c r="A1" s="19" t="s">
        <v>103</v>
      </c>
      <c r="B1" s="20">
        <v>1</v>
      </c>
      <c r="C1" s="20">
        <v>2</v>
      </c>
      <c r="D1" s="20">
        <v>3</v>
      </c>
      <c r="E1" s="20">
        <v>4</v>
      </c>
      <c r="F1" s="20">
        <v>5</v>
      </c>
      <c r="G1" s="20">
        <v>6</v>
      </c>
      <c r="H1" s="20">
        <v>7</v>
      </c>
      <c r="I1" s="20">
        <v>8</v>
      </c>
      <c r="J1" s="20">
        <v>9</v>
      </c>
      <c r="K1" s="20">
        <v>10</v>
      </c>
    </row>
    <row r="2" spans="1:11" ht="20.25">
      <c r="A2" s="21" t="s">
        <v>104</v>
      </c>
      <c r="B2" s="22">
        <v>0</v>
      </c>
      <c r="C2" s="22">
        <v>0</v>
      </c>
      <c r="D2" s="22">
        <v>0</v>
      </c>
      <c r="E2" s="22">
        <v>36</v>
      </c>
      <c r="F2" s="22">
        <v>132</v>
      </c>
      <c r="G2" s="22">
        <v>234</v>
      </c>
      <c r="H2" s="22">
        <v>243</v>
      </c>
      <c r="I2" s="22">
        <v>292</v>
      </c>
      <c r="J2" s="22">
        <v>267</v>
      </c>
      <c r="K2" s="22">
        <v>96</v>
      </c>
    </row>
    <row r="3" spans="1:11" ht="20.25">
      <c r="A3" s="18"/>
      <c r="B3" s="18"/>
      <c r="C3" s="18"/>
      <c r="D3" s="18"/>
      <c r="E3" s="18"/>
      <c r="F3" s="18"/>
      <c r="G3" s="18"/>
      <c r="H3" s="18"/>
      <c r="I3" s="18"/>
    </row>
    <row r="13" spans="1:11">
      <c r="A13" s="5" t="s">
        <v>105</v>
      </c>
      <c r="B13" s="5"/>
      <c r="C13" s="5"/>
      <c r="D13" s="5"/>
    </row>
    <row r="14" spans="1:11">
      <c r="A14" s="5" t="s">
        <v>106</v>
      </c>
      <c r="B14" s="5"/>
      <c r="C14" s="5"/>
      <c r="D14" s="5"/>
    </row>
    <row r="15" spans="1:11">
      <c r="A15" s="5" t="s">
        <v>107</v>
      </c>
      <c r="B15" s="5"/>
      <c r="C15" s="5"/>
      <c r="D15" s="5"/>
    </row>
    <row r="16" spans="1:11">
      <c r="A16" s="5" t="s">
        <v>108</v>
      </c>
      <c r="B16" s="5"/>
      <c r="C16" s="5"/>
      <c r="D16" s="5"/>
    </row>
    <row r="29" spans="1:9">
      <c r="A29" s="10" t="s">
        <v>109</v>
      </c>
      <c r="B29" s="10"/>
      <c r="C29" s="10"/>
      <c r="D29" s="10"/>
      <c r="E29" s="10"/>
      <c r="F29" s="10"/>
      <c r="G29" s="10"/>
      <c r="H29" s="10"/>
      <c r="I29" s="10"/>
    </row>
    <row r="30" spans="1:9">
      <c r="A30" s="10" t="s">
        <v>110</v>
      </c>
      <c r="B30" s="10"/>
      <c r="C30" s="10"/>
      <c r="D30" s="10"/>
      <c r="E30" s="10"/>
      <c r="F30" s="10"/>
      <c r="G30" s="10"/>
      <c r="H30" s="10"/>
      <c r="I30" s="10"/>
    </row>
    <row r="31" spans="1:9">
      <c r="A31" s="11" t="s">
        <v>111</v>
      </c>
      <c r="B31" s="10"/>
      <c r="C31" s="10"/>
      <c r="D31" s="10"/>
      <c r="E31" s="10"/>
      <c r="F31" s="10"/>
      <c r="G31" s="10"/>
      <c r="H31" s="10"/>
      <c r="I31" s="10"/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2"/>
  <sheetViews>
    <sheetView tabSelected="1" zoomScale="148" zoomScaleNormal="148" workbookViewId="0">
      <selection activeCell="A2" sqref="A2:J2"/>
    </sheetView>
  </sheetViews>
  <sheetFormatPr defaultColWidth="11.5703125" defaultRowHeight="12.75"/>
  <sheetData>
    <row r="1" spans="1:10" ht="23.25">
      <c r="A1" s="23" t="s">
        <v>112</v>
      </c>
      <c r="B1" s="23">
        <v>0</v>
      </c>
      <c r="C1" s="23">
        <v>1</v>
      </c>
      <c r="D1" s="23">
        <v>2</v>
      </c>
      <c r="E1" s="23">
        <v>3</v>
      </c>
      <c r="F1" s="23">
        <v>4</v>
      </c>
      <c r="G1" s="23">
        <v>5</v>
      </c>
      <c r="H1" s="23">
        <v>6</v>
      </c>
      <c r="I1" s="23">
        <v>7</v>
      </c>
      <c r="J1" s="23">
        <v>8</v>
      </c>
    </row>
    <row r="2" spans="1:10" ht="23.25">
      <c r="A2" s="23" t="s">
        <v>113</v>
      </c>
      <c r="B2" s="23">
        <v>10</v>
      </c>
      <c r="C2" s="23">
        <v>11.5</v>
      </c>
      <c r="D2" s="23">
        <v>13</v>
      </c>
      <c r="E2" s="23">
        <v>14.5</v>
      </c>
      <c r="F2" s="23">
        <v>16</v>
      </c>
      <c r="G2" s="23">
        <v>17.5</v>
      </c>
      <c r="H2" s="23">
        <v>19</v>
      </c>
      <c r="I2" s="23">
        <v>20.5</v>
      </c>
      <c r="J2" s="23">
        <v>22</v>
      </c>
    </row>
    <row r="3" spans="1:10" ht="23.25">
      <c r="A3" s="24" t="s">
        <v>114</v>
      </c>
      <c r="B3" s="24"/>
      <c r="C3" s="24"/>
      <c r="D3" s="24"/>
      <c r="E3" s="24"/>
      <c r="F3" s="24"/>
      <c r="G3" s="24"/>
      <c r="H3" s="24"/>
      <c r="I3" s="24"/>
      <c r="J3" s="24"/>
    </row>
    <row r="4" spans="1:10" ht="23.25">
      <c r="A4" s="23"/>
      <c r="B4" s="23"/>
      <c r="C4" s="23"/>
      <c r="D4" s="23"/>
      <c r="E4" s="23"/>
      <c r="F4" s="23"/>
      <c r="G4" s="23"/>
      <c r="H4" s="23"/>
      <c r="I4" s="23"/>
      <c r="J4" s="23"/>
    </row>
    <row r="5" spans="1:10" ht="23.25">
      <c r="A5" s="25" t="s">
        <v>135</v>
      </c>
      <c r="B5" s="25"/>
      <c r="C5" s="25"/>
      <c r="D5" s="25"/>
      <c r="E5" s="25"/>
      <c r="F5" s="25"/>
      <c r="G5" s="25"/>
      <c r="H5" s="25"/>
      <c r="I5" s="23"/>
      <c r="J5" s="23"/>
    </row>
    <row r="6" spans="1:10" ht="23.25">
      <c r="A6" s="26" t="s">
        <v>115</v>
      </c>
      <c r="B6" s="25"/>
      <c r="C6" s="25"/>
      <c r="D6" s="25"/>
      <c r="E6" s="25"/>
      <c r="F6" s="25"/>
      <c r="G6" s="25"/>
      <c r="H6" s="25"/>
      <c r="I6" s="23"/>
      <c r="J6" s="23"/>
    </row>
    <row r="7" spans="1:10" ht="23.25">
      <c r="A7" s="23"/>
      <c r="B7" s="23"/>
      <c r="C7" s="23"/>
      <c r="D7" s="23"/>
      <c r="E7" s="23"/>
      <c r="F7" s="23"/>
      <c r="G7" s="23"/>
      <c r="H7" s="23"/>
      <c r="I7" s="23"/>
      <c r="J7" s="23"/>
    </row>
    <row r="8" spans="1:10" ht="23.25">
      <c r="A8" s="26" t="s">
        <v>116</v>
      </c>
      <c r="B8" s="27"/>
      <c r="C8" s="27"/>
      <c r="D8" s="27"/>
      <c r="E8" s="27"/>
      <c r="F8" s="27"/>
      <c r="G8" s="27"/>
      <c r="H8" s="27"/>
      <c r="I8" s="23"/>
      <c r="J8" s="23"/>
    </row>
    <row r="9" spans="1:10" ht="23.25">
      <c r="A9" s="23"/>
      <c r="B9" s="23"/>
      <c r="C9" s="23"/>
      <c r="D9" s="23"/>
      <c r="E9" s="23"/>
      <c r="F9" s="23"/>
      <c r="G9" s="23"/>
      <c r="H9" s="23"/>
      <c r="I9" s="23"/>
      <c r="J9" s="23"/>
    </row>
    <row r="10" spans="1:10" ht="23.25">
      <c r="A10" s="28" t="s">
        <v>117</v>
      </c>
      <c r="B10" s="28"/>
      <c r="C10" s="28"/>
      <c r="D10" s="28"/>
      <c r="E10" s="28"/>
      <c r="F10" s="28"/>
      <c r="G10" s="28"/>
      <c r="H10" s="28"/>
      <c r="I10" s="23"/>
      <c r="J10" s="23"/>
    </row>
    <row r="11" spans="1:10" ht="23.25">
      <c r="A11" s="28" t="s">
        <v>118</v>
      </c>
      <c r="B11" s="28"/>
      <c r="C11" s="28"/>
      <c r="D11" s="28"/>
      <c r="E11" s="28"/>
      <c r="F11" s="28"/>
      <c r="G11" s="28"/>
      <c r="H11" s="28"/>
      <c r="I11" s="23"/>
      <c r="J11" s="23"/>
    </row>
    <row r="12" spans="1:10" ht="15">
      <c r="A12" s="3"/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3"/>
  <sheetViews>
    <sheetView zoomScaleNormal="100" workbookViewId="0">
      <selection activeCell="B2" sqref="A1:J17"/>
    </sheetView>
  </sheetViews>
  <sheetFormatPr defaultColWidth="11.5703125" defaultRowHeight="12.75"/>
  <cols>
    <col min="1" max="1" width="17" customWidth="1"/>
    <col min="2" max="2" width="19.28515625" customWidth="1"/>
  </cols>
  <sheetData>
    <row r="1" spans="1:8">
      <c r="A1" t="s">
        <v>119</v>
      </c>
      <c r="B1" t="s">
        <v>120</v>
      </c>
    </row>
    <row r="9" spans="1:8">
      <c r="A9" s="10" t="s">
        <v>121</v>
      </c>
      <c r="B9" s="10"/>
      <c r="C9" s="10"/>
      <c r="D9" s="10"/>
      <c r="E9" s="10"/>
      <c r="F9" s="10"/>
      <c r="G9" s="10"/>
      <c r="H9" s="10"/>
    </row>
    <row r="10" spans="1:8">
      <c r="A10" s="10" t="s">
        <v>122</v>
      </c>
      <c r="B10" s="10"/>
      <c r="C10" s="10"/>
      <c r="D10" s="10"/>
      <c r="E10" s="10"/>
      <c r="F10" s="10"/>
      <c r="G10" s="10"/>
      <c r="H10" s="10"/>
    </row>
    <row r="11" spans="1:8">
      <c r="A11" s="12" t="s">
        <v>123</v>
      </c>
      <c r="B11" s="10"/>
      <c r="C11" s="10"/>
      <c r="D11" s="10"/>
      <c r="E11" s="10"/>
      <c r="F11" s="10"/>
      <c r="G11" s="10"/>
      <c r="H11" s="10"/>
    </row>
    <row r="12" spans="1:8">
      <c r="A12" s="12" t="s">
        <v>124</v>
      </c>
      <c r="B12" s="10"/>
      <c r="C12" s="10"/>
      <c r="D12" s="10"/>
      <c r="E12" s="10"/>
      <c r="F12" s="10"/>
      <c r="G12" s="10"/>
      <c r="H12" s="10"/>
    </row>
    <row r="13" spans="1:8">
      <c r="A13" s="12" t="s">
        <v>125</v>
      </c>
      <c r="B13" s="10"/>
      <c r="C13" s="10"/>
      <c r="D13" s="10"/>
      <c r="E13" s="10"/>
      <c r="F13" s="10"/>
      <c r="G13" s="10"/>
      <c r="H13" s="10"/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8"/>
  <sheetViews>
    <sheetView zoomScaleNormal="100" workbookViewId="0">
      <selection sqref="A1:J17"/>
    </sheetView>
  </sheetViews>
  <sheetFormatPr defaultColWidth="11.5703125" defaultRowHeight="12.75"/>
  <sheetData>
    <row r="1" spans="1:2">
      <c r="A1" t="s">
        <v>126</v>
      </c>
      <c r="B1" t="s">
        <v>127</v>
      </c>
    </row>
    <row r="2" spans="1:2">
      <c r="A2" t="s">
        <v>128</v>
      </c>
      <c r="B2">
        <v>5</v>
      </c>
    </row>
    <row r="3" spans="1:2">
      <c r="A3" t="s">
        <v>129</v>
      </c>
      <c r="B3">
        <v>7</v>
      </c>
    </row>
    <row r="4" spans="1:2">
      <c r="A4" t="s">
        <v>130</v>
      </c>
      <c r="B4">
        <v>3</v>
      </c>
    </row>
    <row r="5" spans="1:2">
      <c r="A5" t="s">
        <v>131</v>
      </c>
      <c r="B5">
        <v>9</v>
      </c>
    </row>
    <row r="6" spans="1:2">
      <c r="A6" t="s">
        <v>132</v>
      </c>
      <c r="B6">
        <v>6</v>
      </c>
    </row>
    <row r="7" spans="1:2">
      <c r="A7" t="s">
        <v>133</v>
      </c>
      <c r="B7">
        <v>8</v>
      </c>
    </row>
    <row r="8" spans="1:2">
      <c r="A8" t="s">
        <v>134</v>
      </c>
      <c r="B8">
        <v>4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Materii si note</vt:lpstr>
      <vt:lpstr>Tabla inmultirii cu 6</vt:lpstr>
      <vt:lpstr>Timp la televizor</vt:lpstr>
      <vt:lpstr>Functii</vt:lpstr>
      <vt:lpstr>Diagrama medii</vt:lpstr>
      <vt:lpstr>Diagrama Viteza Automobil</vt:lpstr>
      <vt:lpstr>Diagrama cresterii populatiei</vt:lpstr>
      <vt:lpstr>Date pentru diagrame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Competente Digitale</cp:lastModifiedBy>
  <cp:revision>14</cp:revision>
  <dcterms:created xsi:type="dcterms:W3CDTF">2026-09-07T22:06:53Z</dcterms:created>
  <dcterms:modified xsi:type="dcterms:W3CDTF">2026-09-11T10:48:18Z</dcterms:modified>
  <dc:language>en-US</dc:language>
</cp:coreProperties>
</file>